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0211b406cc4016/Documentos/DIO/Santander - Excel com Inteligência Artificial - 2º Semestre/"/>
    </mc:Choice>
  </mc:AlternateContent>
  <xr:revisionPtr revIDLastSave="12" documentId="8_{8CEC29D3-2331-45E7-982A-E0ABB6EA8AE0}" xr6:coauthVersionLast="47" xr6:coauthVersionMax="47" xr10:uidLastSave="{D3C36310-E617-4CE2-AA54-7FFC1FC6340D}"/>
  <bookViews>
    <workbookView xWindow="22260" yWindow="0" windowWidth="16245" windowHeight="20985" xr2:uid="{D2986AE5-85A0-43DB-B7C0-8A0DB3C4C96E}"/>
  </bookViews>
  <sheets>
    <sheet name="Dashboard" sheetId="1" r:id="rId1"/>
    <sheet name="Perfil_Inv" sheetId="3" r:id="rId2"/>
    <sheet name="Desafio" sheetId="2" r:id="rId3"/>
  </sheets>
  <definedNames>
    <definedName name="patrimonio">Dashboard!$D$20</definedName>
    <definedName name="quanto_sera_investido">Dashboard!$D$17</definedName>
    <definedName name="quantos_anos">Dashboard!$D$18</definedName>
    <definedName name="redimento_carteira">Dashboard!$D$13</definedName>
    <definedName name="salario">Dashboard!$D$12</definedName>
    <definedName name="sugestao_investimento">Dashboard!$D$14</definedName>
    <definedName name="taxa_mensal">Dashboard!$D$19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36" i="1"/>
  <c r="D36" i="1" s="1"/>
  <c r="C37" i="1"/>
  <c r="D37" i="1" s="1"/>
  <c r="C38" i="1"/>
  <c r="D38" i="1" s="1"/>
  <c r="C39" i="1"/>
  <c r="D39" i="1" s="1"/>
  <c r="C34" i="1"/>
  <c r="D34" i="1" s="1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D31" i="1"/>
  <c r="D21" i="1"/>
  <c r="D14" i="1"/>
  <c r="D20" i="1"/>
  <c r="D28" i="1"/>
  <c r="D25" i="1"/>
  <c r="D26" i="1"/>
  <c r="D27" i="1"/>
  <c r="D24" i="1"/>
  <c r="C28" i="1"/>
  <c r="C27" i="1"/>
  <c r="C26" i="1"/>
  <c r="C25" i="1"/>
  <c r="C24" i="1"/>
  <c r="D40" i="1" l="1"/>
</calcChain>
</file>

<file path=xl/sharedStrings.xml><?xml version="1.0" encoding="utf-8"?>
<sst xmlns="http://schemas.openxmlformats.org/spreadsheetml/2006/main" count="75" uniqueCount="36">
  <si>
    <t>Objetivo: Criar um simulador simples de investimento</t>
  </si>
  <si>
    <t>Quanto investir por mês?</t>
  </si>
  <si>
    <t>Por quanto anos?</t>
  </si>
  <si>
    <t>Taxa de rendimento mensal?</t>
  </si>
  <si>
    <t>Patrimônio mensal?</t>
  </si>
  <si>
    <t>Dividendos Mensais?</t>
  </si>
  <si>
    <t>INVESTIMENTO MENSAL</t>
  </si>
  <si>
    <t>Quanto em 2 Anos?</t>
  </si>
  <si>
    <t>Quanto em 10 Anos?</t>
  </si>
  <si>
    <t>Quanto em 5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</si>
  <si>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</si>
  <si>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</si>
  <si>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</si>
  <si>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</si>
  <si>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</si>
  <si>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</si>
  <si>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Carteira</t>
  </si>
  <si>
    <t>Sugestão de Investimento</t>
  </si>
  <si>
    <t>PERFIL</t>
  </si>
  <si>
    <t>VALOR A SER INVESTIDO POR MÊS</t>
  </si>
  <si>
    <t>TIPO DE FFI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</si>
  <si>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</si>
  <si>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</si>
  <si>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</si>
  <si>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</si>
  <si>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</si>
  <si>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</si>
  <si>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</si>
  <si>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</si>
  <si>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</si>
  <si>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TIPO DE FII</t>
  </si>
  <si>
    <t>%</t>
  </si>
  <si>
    <t>Conservador</t>
  </si>
  <si>
    <t>Moderado</t>
  </si>
  <si>
    <t>Agressivo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</si>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</sst>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Bodoni MT Black"/>
      <family val="1"/>
    </font>
    <font>
      <sz val="10"/>
      <color theme="0"/>
      <name val="Bodoni MT Black"/>
      <family val="1"/>
    </font>
    <font>
      <sz val="12"/>
      <color theme="1"/>
      <name val="Bodoni MT"/>
      <family val="1"/>
    </font>
    <font>
      <b/>
      <sz val="12"/>
      <color theme="1"/>
      <name val="Bodoni MT"/>
      <family val="1"/>
    </font>
    <font>
      <u/>
      <sz val="12"/>
      <color theme="1"/>
      <name val="Bodoni MT"/>
      <family val="1"/>
    </font>
    <font>
      <sz val="12"/>
      <color theme="9" tint="-0.499984740745262"/>
      <name val="Bodoni MT"/>
      <family val="1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thin">
        <color theme="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1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8" fontId="6" fillId="2" borderId="4" xfId="0" applyNumberFormat="1" applyFont="1" applyFill="1" applyBorder="1" applyAlignment="1">
      <alignment horizontal="left" vertical="center"/>
    </xf>
    <xf numFmtId="8" fontId="9" fillId="2" borderId="6" xfId="0" applyNumberFormat="1" applyFont="1" applyFill="1" applyBorder="1" applyAlignment="1">
      <alignment horizontal="left"/>
    </xf>
    <xf numFmtId="8" fontId="6" fillId="2" borderId="8" xfId="0" applyNumberFormat="1" applyFont="1" applyFill="1" applyBorder="1" applyAlignment="1">
      <alignment horizontal="left" vertical="center"/>
    </xf>
    <xf numFmtId="8" fontId="9" fillId="2" borderId="9" xfId="0" applyNumberFormat="1" applyFont="1" applyFill="1" applyBorder="1" applyAlignment="1">
      <alignment horizontal="left"/>
    </xf>
    <xf numFmtId="0" fontId="6" fillId="2" borderId="5" xfId="0" applyFont="1" applyFill="1" applyBorder="1" applyAlignment="1">
      <alignment horizontal="left" vertical="center" indent="1"/>
    </xf>
    <xf numFmtId="0" fontId="6" fillId="2" borderId="7" xfId="0" applyFont="1" applyFill="1" applyBorder="1" applyAlignment="1">
      <alignment horizontal="left" vertical="center" indent="1"/>
    </xf>
    <xf numFmtId="0" fontId="6" fillId="2" borderId="13" xfId="0" applyFont="1" applyFill="1" applyBorder="1" applyAlignment="1">
      <alignment horizontal="left" vertical="center" indent="1"/>
    </xf>
    <xf numFmtId="0" fontId="6" fillId="2" borderId="14" xfId="0" applyFont="1" applyFill="1" applyBorder="1" applyAlignment="1">
      <alignment horizontal="left" vertical="center" indent="1"/>
    </xf>
    <xf numFmtId="166" fontId="6" fillId="0" borderId="15" xfId="1" applyNumberFormat="1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 indent="1"/>
    </xf>
    <xf numFmtId="0" fontId="6" fillId="2" borderId="17" xfId="0" applyFont="1" applyFill="1" applyBorder="1" applyAlignment="1">
      <alignment horizontal="left" vertical="center" indent="1"/>
    </xf>
    <xf numFmtId="10" fontId="8" fillId="0" borderId="18" xfId="0" applyNumberFormat="1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left" vertical="center" indent="1"/>
    </xf>
    <xf numFmtId="0" fontId="6" fillId="2" borderId="20" xfId="0" applyFont="1" applyFill="1" applyBorder="1" applyAlignment="1">
      <alignment horizontal="left" vertical="center" indent="1"/>
    </xf>
    <xf numFmtId="166" fontId="6" fillId="2" borderId="21" xfId="0" applyNumberFormat="1" applyFont="1" applyFill="1" applyBorder="1" applyAlignment="1">
      <alignment horizontal="left" vertical="center"/>
    </xf>
    <xf numFmtId="166" fontId="7" fillId="0" borderId="24" xfId="1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10" fontId="7" fillId="0" borderId="6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horizontal="left" indent="1"/>
    </xf>
    <xf numFmtId="0" fontId="7" fillId="2" borderId="4" xfId="0" applyFont="1" applyFill="1" applyBorder="1" applyAlignment="1">
      <alignment horizontal="left" indent="1"/>
    </xf>
    <xf numFmtId="8" fontId="7" fillId="2" borderId="6" xfId="0" applyNumberFormat="1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indent="1"/>
    </xf>
    <xf numFmtId="0" fontId="7" fillId="2" borderId="8" xfId="0" applyFont="1" applyFill="1" applyBorder="1" applyAlignment="1">
      <alignment horizontal="left" indent="1"/>
    </xf>
    <xf numFmtId="8" fontId="7" fillId="2" borderId="9" xfId="0" applyNumberFormat="1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indent="1"/>
    </xf>
    <xf numFmtId="0" fontId="6" fillId="2" borderId="23" xfId="0" applyFont="1" applyFill="1" applyBorder="1" applyAlignment="1">
      <alignment horizontal="left" indent="1"/>
    </xf>
    <xf numFmtId="0" fontId="6" fillId="2" borderId="5" xfId="0" applyFont="1" applyFill="1" applyBorder="1" applyAlignment="1">
      <alignment horizontal="left" indent="1"/>
    </xf>
    <xf numFmtId="0" fontId="6" fillId="2" borderId="4" xfId="0" applyFont="1" applyFill="1" applyBorder="1" applyAlignment="1">
      <alignment horizontal="left" indent="1"/>
    </xf>
    <xf numFmtId="0" fontId="6" fillId="5" borderId="0" xfId="0" applyFont="1" applyFill="1" applyBorder="1"/>
    <xf numFmtId="8" fontId="6" fillId="2" borderId="0" xfId="0" applyNumberFormat="1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left"/>
    </xf>
    <xf numFmtId="8" fontId="7" fillId="2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6" fontId="0" fillId="2" borderId="0" xfId="0" applyNumberFormat="1" applyFill="1" applyAlignment="1">
      <alignment vertical="center"/>
    </xf>
    <xf numFmtId="166" fontId="2" fillId="6" borderId="0" xfId="0" applyNumberFormat="1" applyFont="1" applyFill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center"/>
    </xf>
    <xf numFmtId="9" fontId="10" fillId="0" borderId="0" xfId="0" applyNumberFormat="1" applyFont="1" applyFill="1" applyAlignment="1">
      <alignment horizontal="center"/>
    </xf>
    <xf numFmtId="0" fontId="10" fillId="0" borderId="25" xfId="0" applyFont="1" applyFill="1" applyBorder="1"/>
    <xf numFmtId="0" fontId="10" fillId="0" borderId="25" xfId="0" applyFont="1" applyFill="1" applyBorder="1" applyAlignment="1">
      <alignment horizontal="center"/>
    </xf>
    <xf numFmtId="9" fontId="10" fillId="0" borderId="25" xfId="0" applyNumberFormat="1" applyFont="1" applyFill="1" applyBorder="1" applyAlignment="1">
      <alignment horizontal="center"/>
    </xf>
    <xf numFmtId="0" fontId="3" fillId="0" borderId="0" xfId="0" applyFont="1"/>
    <xf numFmtId="9" fontId="0" fillId="0" borderId="0" xfId="0" applyNumberFormat="1" applyAlignment="1">
      <alignment vertical="center"/>
    </xf>
  </cellXfs>
  <cellStyles count="2">
    <cellStyle name="Moeda" xfId="1" builtinId="4"/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Dashboard!$C$33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Dashboard!$C$34:$C$39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4-40EB-A219-2469B7B38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91966</xdr:colOff>
      <xdr:row>0</xdr:row>
      <xdr:rowOff>107074</xdr:rowOff>
    </xdr:from>
    <xdr:to>
      <xdr:col>4</xdr:col>
      <xdr:colOff>157655</xdr:colOff>
      <xdr:row>9</xdr:row>
      <xdr:rowOff>10703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D3FA1B1-A84B-1290-34D7-0F4A93220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27" b="21691"/>
        <a:stretch>
          <a:fillRect/>
        </a:stretch>
      </xdr:blipFill>
      <xdr:spPr>
        <a:xfrm>
          <a:off x="91966" y="107074"/>
          <a:ext cx="4611413" cy="161812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4</xdr:col>
      <xdr:colOff>0</xdr:colOff>
      <xdr:row>54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C22623-BC65-F352-2DBD-834C836AB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5C9425-D4CE-44FD-A291-21680AC9382C}" name="Tabela_Perfil_Investidor" displayName="Tabela_Perfil_Investidor" ref="A1:D19" totalsRowShown="0" headerRowDxfId="0" dataDxfId="1">
  <autoFilter ref="A1:D19" xr:uid="{585C9425-D4CE-44FD-A291-21680AC9382C}"/>
  <tableColumns count="4">
    <tableColumn id="1" xr3:uid="{3AA6F274-0C26-4AB4-B5A6-88904E4C23B1}" name="CHAVE" dataDxfId="5">
      <calculatedColumnFormula>B2&amp;"-"&amp;C2</calculatedColumnFormula>
    </tableColumn>
    <tableColumn id="2" xr3:uid="{5A00FA57-F1A1-4D90-9206-035CB4DA7A7F}" name="PERFIL" dataDxfId="4"/>
    <tableColumn id="3" xr3:uid="{B5A7C7B9-5731-4A12-9796-E56416E46A01}" name="TIPO DE FII" dataDxfId="3"/>
    <tableColumn id="4" xr3:uid="{A48F0244-BA5E-4FC0-810F-AAE189471FF3}" name="%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424D-5AF8-44CD-BE81-686363DADB2D}">
  <dimension ref="B1:R66"/>
  <sheetViews>
    <sheetView showGridLines="0" tabSelected="1" zoomScale="145" zoomScaleNormal="145" workbookViewId="0"/>
  </sheetViews>
  <sheetFormatPr defaultColWidth="0" defaultRowHeight="15" zeroHeight="1" x14ac:dyDescent="0.25"/>
  <cols>
    <col min="1" max="1" width="3.7109375" customWidth="1"/>
    <col min="2" max="2" width="26.7109375" customWidth="1"/>
    <col min="3" max="3" width="18.7109375" customWidth="1"/>
    <col min="4" max="4" width="19" bestFit="1" customWidth="1"/>
    <col min="5" max="5" width="3.7109375" customWidth="1"/>
    <col min="6" max="6" width="3.7109375" hidden="1" customWidth="1"/>
    <col min="7" max="8" width="3.7109375" hidden="1"/>
    <col min="19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ht="15.75" thickBot="1" x14ac:dyDescent="0.3"/>
    <row r="11" spans="2:4" ht="39.950000000000003" customHeight="1" x14ac:dyDescent="0.25">
      <c r="B11" s="5" t="s">
        <v>14</v>
      </c>
      <c r="C11" s="6"/>
      <c r="D11" s="7"/>
    </row>
    <row r="12" spans="2:4" ht="15.75" x14ac:dyDescent="0.25">
      <c r="B12" s="14" t="s">
        <v>15</v>
      </c>
      <c r="C12" s="15"/>
      <c r="D12" s="16">
        <v>8000</v>
      </c>
    </row>
    <row r="13" spans="2:4" ht="15.75" x14ac:dyDescent="0.25">
      <c r="B13" s="17" t="s">
        <v>16</v>
      </c>
      <c r="C13" s="18"/>
      <c r="D13" s="19">
        <v>0.01</v>
      </c>
    </row>
    <row r="14" spans="2:4" ht="16.5" thickBot="1" x14ac:dyDescent="0.3">
      <c r="B14" s="20" t="s">
        <v>17</v>
      </c>
      <c r="C14" s="21"/>
      <c r="D14" s="22">
        <f>salario*30%</f>
        <v>2400</v>
      </c>
    </row>
    <row r="15" spans="2:4" ht="16.5" customHeight="1" thickBot="1" x14ac:dyDescent="0.3"/>
    <row r="16" spans="2:4" ht="39.950000000000003" customHeight="1" x14ac:dyDescent="0.25">
      <c r="B16" s="1" t="s">
        <v>6</v>
      </c>
      <c r="C16" s="2"/>
      <c r="D16" s="3"/>
    </row>
    <row r="17" spans="2:4" ht="16.5" x14ac:dyDescent="0.25">
      <c r="B17" s="32" t="s">
        <v>1</v>
      </c>
      <c r="C17" s="33"/>
      <c r="D17" s="23">
        <v>750</v>
      </c>
    </row>
    <row r="18" spans="2:4" ht="16.5" x14ac:dyDescent="0.25">
      <c r="B18" s="34" t="s">
        <v>2</v>
      </c>
      <c r="C18" s="35"/>
      <c r="D18" s="24">
        <v>5</v>
      </c>
    </row>
    <row r="19" spans="2:4" ht="16.5" x14ac:dyDescent="0.25">
      <c r="B19" s="34" t="s">
        <v>3</v>
      </c>
      <c r="C19" s="35"/>
      <c r="D19" s="25">
        <v>1.0789999999999999E-2</v>
      </c>
    </row>
    <row r="20" spans="2:4" ht="16.5" x14ac:dyDescent="0.3">
      <c r="B20" s="26" t="s">
        <v>4</v>
      </c>
      <c r="C20" s="27"/>
      <c r="D20" s="28">
        <f>FV(taxa_mensal,quantos_anos*12,quanto_sera_investido*-1)</f>
        <v>62832.685498865736</v>
      </c>
    </row>
    <row r="21" spans="2:4" ht="17.25" thickBot="1" x14ac:dyDescent="0.35">
      <c r="B21" s="29" t="s">
        <v>5</v>
      </c>
      <c r="C21" s="30"/>
      <c r="D21" s="31">
        <f>patrimonio*redimento_carteira</f>
        <v>628.32685498865737</v>
      </c>
    </row>
    <row r="22" spans="2:4" ht="15.75" thickBot="1" x14ac:dyDescent="0.3"/>
    <row r="23" spans="2:4" ht="39.950000000000003" customHeight="1" x14ac:dyDescent="0.25">
      <c r="B23" s="1" t="s">
        <v>12</v>
      </c>
      <c r="C23" s="2"/>
      <c r="D23" s="4" t="s">
        <v>13</v>
      </c>
    </row>
    <row r="24" spans="2:4" ht="15.75" x14ac:dyDescent="0.25">
      <c r="B24" s="12" t="s">
        <v>7</v>
      </c>
      <c r="C24" s="8">
        <f>FV($D$19,2*12,$D$17*-1)</f>
        <v>20420.720473233912</v>
      </c>
      <c r="D24" s="9">
        <f>C24*redimento_carteira</f>
        <v>204.20720473233914</v>
      </c>
    </row>
    <row r="25" spans="2:4" ht="15.75" x14ac:dyDescent="0.25">
      <c r="B25" s="12" t="s">
        <v>9</v>
      </c>
      <c r="C25" s="8">
        <f>FV($D$19,5*12,$D$17*-1)</f>
        <v>62832.685498865736</v>
      </c>
      <c r="D25" s="9">
        <f>C25*redimento_carteira</f>
        <v>628.32685498865737</v>
      </c>
    </row>
    <row r="26" spans="2:4" ht="15.75" x14ac:dyDescent="0.25">
      <c r="B26" s="12" t="s">
        <v>8</v>
      </c>
      <c r="C26" s="8">
        <f>FV($D$19,10*12,$D$17*-1)</f>
        <v>182463.15939762915</v>
      </c>
      <c r="D26" s="9">
        <f>C26*redimento_carteira</f>
        <v>1824.6315939762915</v>
      </c>
    </row>
    <row r="27" spans="2:4" ht="15.75" x14ac:dyDescent="0.25">
      <c r="B27" s="12" t="s">
        <v>10</v>
      </c>
      <c r="C27" s="8">
        <f>FV($D$19,20*12,$D$17*-1)</f>
        <v>843898.8000728105</v>
      </c>
      <c r="D27" s="9">
        <f>C27*redimento_carteira</f>
        <v>8438.9880007281045</v>
      </c>
    </row>
    <row r="28" spans="2:4" ht="16.5" thickBot="1" x14ac:dyDescent="0.3">
      <c r="B28" s="13" t="s">
        <v>11</v>
      </c>
      <c r="C28" s="10">
        <f>FV($D$19,30*12,$D$17*-1)</f>
        <v>3241627.2412535357</v>
      </c>
      <c r="D28" s="11">
        <f>C28*redimento_carteira</f>
        <v>32416.27241253536</v>
      </c>
    </row>
    <row r="29" spans="2:4" x14ac:dyDescent="0.25"/>
    <row r="30" spans="2:4" ht="16.5" x14ac:dyDescent="0.3">
      <c r="B30" s="38" t="s">
        <v>18</v>
      </c>
      <c r="C30" s="38"/>
      <c r="D30" s="36" t="s">
        <v>35</v>
      </c>
    </row>
    <row r="31" spans="2:4" ht="16.5" x14ac:dyDescent="0.25">
      <c r="B31" s="39" t="s">
        <v>19</v>
      </c>
      <c r="C31" s="39"/>
      <c r="D31" s="37">
        <f>quanto_sera_investido</f>
        <v>750</v>
      </c>
    </row>
    <row r="32" spans="2:4" x14ac:dyDescent="0.25"/>
    <row r="33" spans="2:4" x14ac:dyDescent="0.25">
      <c r="B33" s="41" t="s">
        <v>20</v>
      </c>
      <c r="C33" s="41" t="s">
        <v>21</v>
      </c>
      <c r="D33" s="41" t="s">
        <v>22</v>
      </c>
    </row>
    <row r="34" spans="2:4" x14ac:dyDescent="0.25">
      <c r="B34" s="40" t="s">
        <v>23</v>
      </c>
      <c r="C34" s="53">
        <f>VLOOKUP($D$30&amp;"-"&amp;B34,Tabela_Perfil_Investidor[#All],4,)</f>
        <v>0.5</v>
      </c>
      <c r="D34" s="42">
        <f>C34*$D$31</f>
        <v>375</v>
      </c>
    </row>
    <row r="35" spans="2:4" x14ac:dyDescent="0.25">
      <c r="B35" s="40" t="s">
        <v>24</v>
      </c>
      <c r="C35" s="53">
        <f>VLOOKUP($D$30&amp;"-"&amp;B35,Tabela_Perfil_Investidor[#All],4,)</f>
        <v>0.1</v>
      </c>
      <c r="D35" s="42">
        <f t="shared" ref="D35:D39" si="0">C35*$D$31</f>
        <v>75</v>
      </c>
    </row>
    <row r="36" spans="2:4" x14ac:dyDescent="0.25">
      <c r="B36" s="40" t="s">
        <v>25</v>
      </c>
      <c r="C36" s="53">
        <f>VLOOKUP($D$30&amp;"-"&amp;B36,Tabela_Perfil_Investidor[#All],4,)</f>
        <v>0.05</v>
      </c>
      <c r="D36" s="42">
        <f t="shared" si="0"/>
        <v>37.5</v>
      </c>
    </row>
    <row r="37" spans="2:4" x14ac:dyDescent="0.25">
      <c r="B37" s="40" t="s">
        <v>26</v>
      </c>
      <c r="C37" s="53">
        <f>VLOOKUP($D$30&amp;"-"&amp;B37,Tabela_Perfil_Investidor[#All],4,)</f>
        <v>0.05</v>
      </c>
      <c r="D37" s="42">
        <f t="shared" si="0"/>
        <v>37.5</v>
      </c>
    </row>
    <row r="38" spans="2:4" x14ac:dyDescent="0.25">
      <c r="B38" s="40" t="s">
        <v>27</v>
      </c>
      <c r="C38" s="53">
        <f>VLOOKUP($D$30&amp;"-"&amp;B38,Tabela_Perfil_Investidor[#All],4,)</f>
        <v>0.2</v>
      </c>
      <c r="D38" s="42">
        <f t="shared" si="0"/>
        <v>150</v>
      </c>
    </row>
    <row r="39" spans="2:4" x14ac:dyDescent="0.25">
      <c r="B39" s="40" t="s">
        <v>28</v>
      </c>
      <c r="C39" s="53">
        <f>VLOOKUP($D$30&amp;"-"&amp;B39,Tabela_Perfil_Investidor[#All],4,)</f>
        <v>0.1</v>
      </c>
      <c r="D39" s="42">
        <f t="shared" si="0"/>
        <v>75</v>
      </c>
    </row>
    <row r="40" spans="2:4" x14ac:dyDescent="0.25">
      <c r="B40" s="41"/>
      <c r="C40" s="41"/>
      <c r="D40" s="43">
        <f>SUM(D34:D39)</f>
        <v>750</v>
      </c>
    </row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hidden="1" x14ac:dyDescent="0.25"/>
    <row r="57" customFormat="1" hidden="1" x14ac:dyDescent="0.25"/>
    <row r="58" customFormat="1" hidden="1" x14ac:dyDescent="0.25"/>
    <row r="59" customFormat="1" hidden="1" x14ac:dyDescent="0.25"/>
    <row r="60" customFormat="1" hidden="1" x14ac:dyDescent="0.25"/>
    <row r="61" customFormat="1" hidden="1" x14ac:dyDescent="0.25"/>
    <row r="62" customFormat="1" hidden="1" x14ac:dyDescent="0.25"/>
    <row r="63" customFormat="1" hidden="1" x14ac:dyDescent="0.25"/>
    <row r="64" customFormat="1" hidden="1" x14ac:dyDescent="0.25"/>
    <row r="65" customFormat="1" hidden="1" x14ac:dyDescent="0.25"/>
    <row r="66" customFormat="1" hidden="1" x14ac:dyDescent="0.25"/>
  </sheetData>
  <mergeCells count="13">
    <mergeCell ref="B31:C31"/>
    <mergeCell ref="B11:D11"/>
    <mergeCell ref="B12:C12"/>
    <mergeCell ref="B13:C13"/>
    <mergeCell ref="B14:C14"/>
    <mergeCell ref="B30:C30"/>
    <mergeCell ref="B23:C23"/>
    <mergeCell ref="B17:C17"/>
    <mergeCell ref="B18:C18"/>
    <mergeCell ref="B19:C19"/>
    <mergeCell ref="B20:C20"/>
    <mergeCell ref="B21:C21"/>
    <mergeCell ref="B16:D16"/>
  </mergeCells>
  <dataValidations count="1">
    <dataValidation type="list" allowBlank="1" showInputMessage="1" showErrorMessage="1" sqref="D30" xr:uid="{4BFBBB04-9993-45C5-A3B3-1662A7D7256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6355-0856-4798-BA90-A1A323D58B3C}">
  <dimension ref="A1:D19"/>
  <sheetViews>
    <sheetView workbookViewId="0">
      <selection activeCell="B42" sqref="A42:B44"/>
    </sheetView>
  </sheetViews>
  <sheetFormatPr defaultColWidth="30.7109375"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7.140625" bestFit="1" customWidth="1"/>
  </cols>
  <sheetData>
    <row r="1" spans="1:4" s="52" customFormat="1" x14ac:dyDescent="0.25">
      <c r="A1" s="44" t="s">
        <v>29</v>
      </c>
      <c r="B1" s="44" t="s">
        <v>18</v>
      </c>
      <c r="C1" s="45" t="s">
        <v>30</v>
      </c>
      <c r="D1" s="45" t="s">
        <v>31</v>
      </c>
    </row>
    <row r="2" spans="1:4" x14ac:dyDescent="0.25">
      <c r="A2" s="46" t="str">
        <f>B2&amp;"-"&amp;C2</f>
        <v>Conservador-PAPEL</v>
      </c>
      <c r="B2" s="46" t="s">
        <v>32</v>
      </c>
      <c r="C2" s="47" t="s">
        <v>23</v>
      </c>
      <c r="D2" s="48">
        <v>0.3</v>
      </c>
    </row>
    <row r="3" spans="1:4" x14ac:dyDescent="0.25">
      <c r="A3" s="46" t="str">
        <f t="shared" ref="A3:A19" si="0">B3&amp;"-"&amp;C3</f>
        <v>Conservador-TIJOLO</v>
      </c>
      <c r="B3" s="46" t="s">
        <v>32</v>
      </c>
      <c r="C3" s="47" t="s">
        <v>24</v>
      </c>
      <c r="D3" s="48">
        <v>0.5</v>
      </c>
    </row>
    <row r="4" spans="1:4" x14ac:dyDescent="0.25">
      <c r="A4" s="46" t="str">
        <f t="shared" si="0"/>
        <v>Conservador-HÍBRIDOS</v>
      </c>
      <c r="B4" s="46" t="s">
        <v>32</v>
      </c>
      <c r="C4" s="47" t="s">
        <v>25</v>
      </c>
      <c r="D4" s="48">
        <v>0.1</v>
      </c>
    </row>
    <row r="5" spans="1:4" x14ac:dyDescent="0.25">
      <c r="A5" s="46" t="str">
        <f t="shared" si="0"/>
        <v>Conservador-FOFs</v>
      </c>
      <c r="B5" s="46" t="s">
        <v>32</v>
      </c>
      <c r="C5" s="47" t="s">
        <v>26</v>
      </c>
      <c r="D5" s="48">
        <v>0.1</v>
      </c>
    </row>
    <row r="6" spans="1:4" x14ac:dyDescent="0.25">
      <c r="A6" s="46" t="str">
        <f t="shared" si="0"/>
        <v>Conservador-DESENVOLVIMENTO</v>
      </c>
      <c r="B6" s="46" t="s">
        <v>32</v>
      </c>
      <c r="C6" s="47" t="s">
        <v>27</v>
      </c>
      <c r="D6" s="48">
        <v>0</v>
      </c>
    </row>
    <row r="7" spans="1:4" ht="15.75" thickBot="1" x14ac:dyDescent="0.3">
      <c r="A7" s="49" t="str">
        <f t="shared" si="0"/>
        <v>Conservador-HOTELARIAS</v>
      </c>
      <c r="B7" s="49" t="s">
        <v>32</v>
      </c>
      <c r="C7" s="50" t="s">
        <v>28</v>
      </c>
      <c r="D7" s="51">
        <v>0</v>
      </c>
    </row>
    <row r="8" spans="1:4" x14ac:dyDescent="0.25">
      <c r="A8" s="46" t="str">
        <f t="shared" si="0"/>
        <v>Moderado-PAPEL</v>
      </c>
      <c r="B8" s="46" t="s">
        <v>33</v>
      </c>
      <c r="C8" s="47" t="s">
        <v>23</v>
      </c>
      <c r="D8" s="48">
        <v>0.32</v>
      </c>
    </row>
    <row r="9" spans="1:4" x14ac:dyDescent="0.25">
      <c r="A9" s="46" t="str">
        <f t="shared" si="0"/>
        <v>Moderado-TIJOLO</v>
      </c>
      <c r="B9" s="46" t="s">
        <v>33</v>
      </c>
      <c r="C9" s="47" t="s">
        <v>24</v>
      </c>
      <c r="D9" s="48">
        <v>0.35</v>
      </c>
    </row>
    <row r="10" spans="1:4" x14ac:dyDescent="0.25">
      <c r="A10" s="46" t="str">
        <f t="shared" si="0"/>
        <v>Moderado-HÍBRIDOS</v>
      </c>
      <c r="B10" s="46" t="s">
        <v>33</v>
      </c>
      <c r="C10" s="47" t="s">
        <v>25</v>
      </c>
      <c r="D10" s="48">
        <v>0.08</v>
      </c>
    </row>
    <row r="11" spans="1:4" x14ac:dyDescent="0.25">
      <c r="A11" s="46" t="str">
        <f t="shared" si="0"/>
        <v>Moderado-FOFs</v>
      </c>
      <c r="B11" s="46" t="s">
        <v>33</v>
      </c>
      <c r="C11" s="47" t="s">
        <v>26</v>
      </c>
      <c r="D11" s="48">
        <v>0.05</v>
      </c>
    </row>
    <row r="12" spans="1:4" x14ac:dyDescent="0.25">
      <c r="A12" s="46" t="str">
        <f t="shared" si="0"/>
        <v>Moderado-DESENVOLVIMENTO</v>
      </c>
      <c r="B12" s="46" t="s">
        <v>33</v>
      </c>
      <c r="C12" s="47" t="s">
        <v>27</v>
      </c>
      <c r="D12" s="48">
        <v>0.1</v>
      </c>
    </row>
    <row r="13" spans="1:4" ht="15.75" thickBot="1" x14ac:dyDescent="0.3">
      <c r="A13" s="49" t="str">
        <f t="shared" si="0"/>
        <v>Moderado-HOTELARIAS</v>
      </c>
      <c r="B13" s="49" t="s">
        <v>33</v>
      </c>
      <c r="C13" s="50" t="s">
        <v>28</v>
      </c>
      <c r="D13" s="51">
        <v>0.1</v>
      </c>
    </row>
    <row r="14" spans="1:4" x14ac:dyDescent="0.25">
      <c r="A14" s="46" t="str">
        <f t="shared" si="0"/>
        <v>Agressivo-PAPEL</v>
      </c>
      <c r="B14" s="46" t="s">
        <v>34</v>
      </c>
      <c r="C14" s="47" t="s">
        <v>23</v>
      </c>
      <c r="D14" s="48">
        <v>0.5</v>
      </c>
    </row>
    <row r="15" spans="1:4" x14ac:dyDescent="0.25">
      <c r="A15" s="46" t="str">
        <f t="shared" si="0"/>
        <v>Agressivo-TIJOLO</v>
      </c>
      <c r="B15" s="46" t="s">
        <v>34</v>
      </c>
      <c r="C15" s="47" t="s">
        <v>24</v>
      </c>
      <c r="D15" s="48">
        <v>0.1</v>
      </c>
    </row>
    <row r="16" spans="1:4" x14ac:dyDescent="0.25">
      <c r="A16" s="46" t="str">
        <f t="shared" si="0"/>
        <v>Agressivo-HÍBRIDOS</v>
      </c>
      <c r="B16" s="46" t="s">
        <v>34</v>
      </c>
      <c r="C16" s="47" t="s">
        <v>25</v>
      </c>
      <c r="D16" s="48">
        <v>0.05</v>
      </c>
    </row>
    <row r="17" spans="1:4" x14ac:dyDescent="0.25">
      <c r="A17" s="46" t="str">
        <f t="shared" si="0"/>
        <v>Agressivo-FOFs</v>
      </c>
      <c r="B17" s="46" t="s">
        <v>34</v>
      </c>
      <c r="C17" s="47" t="s">
        <v>26</v>
      </c>
      <c r="D17" s="48">
        <v>0.05</v>
      </c>
    </row>
    <row r="18" spans="1:4" x14ac:dyDescent="0.25">
      <c r="A18" s="46" t="str">
        <f t="shared" si="0"/>
        <v>Agressivo-DESENVOLVIMENTO</v>
      </c>
      <c r="B18" s="46" t="s">
        <v>34</v>
      </c>
      <c r="C18" s="47" t="s">
        <v>27</v>
      </c>
      <c r="D18" s="48">
        <v>0.2</v>
      </c>
    </row>
    <row r="19" spans="1:4" x14ac:dyDescent="0.25">
      <c r="A19" s="46" t="str">
        <f t="shared" si="0"/>
        <v>Agressivo-HOTELARIAS</v>
      </c>
      <c r="B19" s="46" t="s">
        <v>34</v>
      </c>
      <c r="C19" s="47" t="s">
        <v>28</v>
      </c>
      <c r="D19" s="48">
        <v>0.1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CE8E-6106-446F-8F56-7CBEDC6D36A9}">
  <dimension ref="A2:A8"/>
  <sheetViews>
    <sheetView workbookViewId="0"/>
  </sheetViews>
  <sheetFormatPr defaultRowHeight="15" x14ac:dyDescent="0.25"/>
  <cols>
    <col min="1" max="1" width="49.42578125" bestFit="1" customWidth="1"/>
  </cols>
  <sheetData>
    <row r="2" spans="1:1" x14ac:dyDescent="0.25">
      <c r="A2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Dashboard</vt:lpstr>
      <vt:lpstr>Perfil_Inv</vt:lpstr>
      <vt:lpstr>Desafio</vt:lpstr>
      <vt:lpstr>patrimonio</vt:lpstr>
      <vt:lpstr>quanto_sera_investido</vt:lpstr>
      <vt:lpstr>quantos_anos</vt:lpstr>
      <vt:lpstr>redimento_carteira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Felpa</dc:creator>
  <cp:lastModifiedBy>Filipe Felpa</cp:lastModifiedBy>
  <dcterms:created xsi:type="dcterms:W3CDTF">2025-12-31T21:03:32Z</dcterms:created>
  <dcterms:modified xsi:type="dcterms:W3CDTF">2026-01-02T15:31:35Z</dcterms:modified>
</cp:coreProperties>
</file>